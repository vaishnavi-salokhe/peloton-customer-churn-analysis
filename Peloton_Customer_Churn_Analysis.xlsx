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c88fdd0a9e15b5/Desktop/data analysis/Projects/customer-churn-analysis-datasets/customer-churn-analysis/"/>
    </mc:Choice>
  </mc:AlternateContent>
  <xr:revisionPtr revIDLastSave="105" documentId="8_{F7B526FB-6797-432D-8ADF-ADFBC02156D9}" xr6:coauthVersionLast="47" xr6:coauthVersionMax="47" xr10:uidLastSave="{26453969-5FAF-4A83-9CBC-D8F3FEE4DE71}"/>
  <bookViews>
    <workbookView xWindow="-108" yWindow="-108" windowWidth="23256" windowHeight="13896" firstSheet="7" activeTab="7" xr2:uid="{B98F2A90-4C22-4332-AA5F-5BB3901C7279}"/>
  </bookViews>
  <sheets>
    <sheet name="01_subscription_data_quality" sheetId="2" r:id="rId1"/>
    <sheet name="02_usage_data_quality" sheetId="4" r:id="rId2"/>
    <sheet name="03_overall_churn_rate" sheetId="5" r:id="rId3"/>
    <sheet name="04_churn_by_plan" sheetId="7" r:id="rId4"/>
    <sheet name="05_churn_by_acquisition_channel" sheetId="8" r:id="rId5"/>
    <sheet name="06_cancellation_reasons" sheetId="9" r:id="rId6"/>
    <sheet name="07_usage_by_churn_status" sheetId="10" r:id="rId7"/>
    <sheet name="Dahboard" sheetId="11" r:id="rId8"/>
  </sheets>
  <definedNames>
    <definedName name="ExternalData_1" localSheetId="0" hidden="1">'01_subscription_data_quality'!$A$1:$D$2</definedName>
    <definedName name="ExternalData_1" localSheetId="1" hidden="1">'02_usage_data_quality'!$A$1:$D$2</definedName>
    <definedName name="ExternalData_1" localSheetId="2" hidden="1">'03_overall_churn_rate'!$A$1:$D$2</definedName>
    <definedName name="ExternalData_1" localSheetId="3" hidden="1">'04_churn_by_plan'!$A$1:$E$3</definedName>
    <definedName name="ExternalData_1" localSheetId="4" hidden="1">'05_churn_by_acquisition_channel'!$A$1:$D$6</definedName>
    <definedName name="ExternalData_1" localSheetId="5" hidden="1">'06_cancellation_reasons'!$A$1:$C$7</definedName>
    <definedName name="ExternalData_1" localSheetId="6" hidden="1">'07_usage_by_churn_status'!$A$1:$G$3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1" l="1"/>
  <c r="G4" i="11"/>
  <c r="D4" i="11"/>
  <c r="A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9056B1-A082-499C-8A05-C1A85B590FC1}" keepAlive="1" name="Query - 01_subscription_data_quality" description="Connection to the '01_subscription_data_quality' query in the workbook." type="5" refreshedVersion="8" background="1" saveData="1">
    <dbPr connection="Provider=Microsoft.Mashup.OleDb.1;Data Source=$Workbook$;Location=01_subscription_data_quality;Extended Properties=&quot;&quot;" command="SELECT * FROM [01_subscription_data_quality]"/>
  </connection>
  <connection id="2" xr16:uid="{F9101719-55CB-4B45-B54F-322809D1F55A}" keepAlive="1" name="Query - 02_usage_data_quality" description="Connection to the '02_usage_data_quality' query in the workbook." type="5" refreshedVersion="8" background="1" saveData="1">
    <dbPr connection="Provider=Microsoft.Mashup.OleDb.1;Data Source=$Workbook$;Location=02_usage_data_quality;Extended Properties=&quot;&quot;" command="SELECT * FROM [02_usage_data_quality]"/>
  </connection>
  <connection id="3" xr16:uid="{027CD036-35A1-4BDF-9F4F-1B535A05DC55}" keepAlive="1" name="Query - 03_overall_churn_rate" description="Connection to the '03_overall_churn_rate' query in the workbook." type="5" refreshedVersion="8" background="1" saveData="1">
    <dbPr connection="Provider=Microsoft.Mashup.OleDb.1;Data Source=$Workbook$;Location=03_overall_churn_rate;Extended Properties=&quot;&quot;" command="SELECT * FROM [03_overall_churn_rate]"/>
  </connection>
  <connection id="4" xr16:uid="{E9F37AE5-9F64-4E2F-ACE4-F0921E272972}" keepAlive="1" name="Query - 04_churn_by_plan" description="Connection to the '04_churn_by_plan' query in the workbook." type="5" refreshedVersion="8" background="1" saveData="1">
    <dbPr connection="Provider=Microsoft.Mashup.OleDb.1;Data Source=$Workbook$;Location=04_churn_by_plan;Extended Properties=&quot;&quot;" command="SELECT * FROM [04_churn_by_plan]"/>
  </connection>
  <connection id="5" xr16:uid="{2A27E878-F392-4A0A-A2B9-D6F4598CD3AE}" keepAlive="1" name="Query - 05_churn_by_acquisition_channel" description="Connection to the '05_churn_by_acquisition_channel' query in the workbook." type="5" refreshedVersion="8" background="1" saveData="1">
    <dbPr connection="Provider=Microsoft.Mashup.OleDb.1;Data Source=$Workbook$;Location=05_churn_by_acquisition_channel;Extended Properties=&quot;&quot;" command="SELECT * FROM [05_churn_by_acquisition_channel]"/>
  </connection>
  <connection id="6" xr16:uid="{475779E6-6F4C-4B0D-8D8B-08868535699D}" keepAlive="1" name="Query - 06_cancellation_reasons" description="Connection to the '06_cancellation_reasons' query in the workbook." type="5" refreshedVersion="8" background="1" saveData="1">
    <dbPr connection="Provider=Microsoft.Mashup.OleDb.1;Data Source=$Workbook$;Location=06_cancellation_reasons;Extended Properties=&quot;&quot;" command="SELECT * FROM [06_cancellation_reasons]"/>
  </connection>
  <connection id="7" xr16:uid="{6B5FB372-665F-4559-B4EF-1D2127A7DD3C}" keepAlive="1" name="Query - 07_usage_by_churn_status" description="Connection to the '07_usage_by_churn_status' query in the workbook." type="5" refreshedVersion="8" background="1" saveData="1">
    <dbPr connection="Provider=Microsoft.Mashup.OleDb.1;Data Source=$Workbook$;Location=07_usage_by_churn_status;Extended Properties=&quot;&quot;" command="SELECT * FROM [07_usage_by_churn_status]"/>
  </connection>
</connections>
</file>

<file path=xl/sharedStrings.xml><?xml version="1.0" encoding="utf-8"?>
<sst xmlns="http://schemas.openxmlformats.org/spreadsheetml/2006/main" count="51" uniqueCount="41">
  <si>
    <t>total_customers</t>
  </si>
  <si>
    <t>unique_customers</t>
  </si>
  <si>
    <t>missing_customer_ids</t>
  </si>
  <si>
    <t>missing_churn_status</t>
  </si>
  <si>
    <t>total_usage_records</t>
  </si>
  <si>
    <t>missing_workout_values</t>
  </si>
  <si>
    <t>churned_customers</t>
  </si>
  <si>
    <t>active_customers</t>
  </si>
  <si>
    <t>churn_rate_pct</t>
  </si>
  <si>
    <t>plan_type</t>
  </si>
  <si>
    <t>avg_monthly_price</t>
  </si>
  <si>
    <t>monthly</t>
  </si>
  <si>
    <t>annual</t>
  </si>
  <si>
    <t>acquisition_channel</t>
  </si>
  <si>
    <t>promo_offer</t>
  </si>
  <si>
    <t>partner</t>
  </si>
  <si>
    <t>organic</t>
  </si>
  <si>
    <t>paid_social</t>
  </si>
  <si>
    <t>referral</t>
  </si>
  <si>
    <t>cancel_reason</t>
  </si>
  <si>
    <t>customers</t>
  </si>
  <si>
    <t>pct_of_churned_customers</t>
  </si>
  <si>
    <t>not_using_enough</t>
  </si>
  <si>
    <t>too_expensive</t>
  </si>
  <si>
    <t>found_alternative</t>
  </si>
  <si>
    <t>other</t>
  </si>
  <si>
    <t>technical_issues</t>
  </si>
  <si>
    <t>churned</t>
  </si>
  <si>
    <t>avg_months_observed</t>
  </si>
  <si>
    <t>avg_monthly_workouts</t>
  </si>
  <si>
    <t>avg_monthly_active_minutes</t>
  </si>
  <si>
    <t>avg_monthly_classes</t>
  </si>
  <si>
    <t>avg_monthly_support_tickets</t>
  </si>
  <si>
    <t>no</t>
  </si>
  <si>
    <t>yes</t>
  </si>
  <si>
    <t>PELOTON | CUSTOMER CHURN ANALYSIS</t>
  </si>
  <si>
    <t>Total Customers</t>
  </si>
  <si>
    <t>Churned Customers</t>
  </si>
  <si>
    <t>Active Customers</t>
  </si>
  <si>
    <t>Churn Rate</t>
  </si>
  <si>
    <t>don’t want to continue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</si>
</sst>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00CC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Churn Rate by Plan.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'04_churn_by_plan'!$D$1</c:f>
              <c:strCache>
                <c:ptCount val="1"/>
                <c:pt idx="0">
                  <c:v>churn_rate_pct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'04_churn_by_plan'!$A$2:$A$3</c:f>
              <c:strCache>
                <c:ptCount val="2"/>
                <c:pt idx="0">
                  <c:v>monthly</c:v>
                </c:pt>
                <c:pt idx="1">
                  <c:v>annual</c:v>
                </c:pt>
              </c:strCache>
            </c:strRef>
          </c:cat>
          <c:val>
            <c:numRef>
              <c:f>'04_churn_by_plan'!$D$2:$D$3</c:f>
              <c:numCache>
                <c:formatCode>General</c:formatCode>
                <c:ptCount val="2"/>
                <c:pt idx="0">
                  <c:v>51.18</c:v>
                </c:pt>
                <c:pt idx="1">
                  <c:v>26.38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2-4567-B1B6-BFED2051E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650804144"/>
        <c:axId val="585421872"/>
      </c:barChart>
      <c:catAx>
        <c:axId val="650804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21872"/>
        <c:crosses val="autoZero"/>
        <c:auto val="1"/>
        <c:lblAlgn val="ctr"/>
        <c:lblOffset val="100"/>
        <c:noMultiLvlLbl val="0"/>
      </c:catAx>
      <c:valAx>
        <c:axId val="58542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80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Cancellation Reasons</a:t>
            </a:r>
            <a:endParaRPr lang="en-US"/>
          </a:p>
        </c:rich>
      </c:tx>
      <c:layout>
        <c:manualLayout>
          <c:xMode val="edge"/>
          <c:yMode val="edge"/>
          <c:x val="0.4057222222222222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'06_cancellation_reasons'!$B$1</c:f>
              <c:strCache>
                <c:ptCount val="1"/>
                <c:pt idx="0">
                  <c:v>customers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'06_cancellation_reasons'!$A$2:$A$7</c:f>
              <c:strCache>
                <c:ptCount val="6"/>
                <c:pt idx="0">
                  <c:v>not_using_enough</c:v>
                </c:pt>
                <c:pt idx="1">
                  <c:v>don’t want to continue</c:v>
                </c:pt>
                <c:pt idx="2">
                  <c:v>too_expensive</c:v>
                </c:pt>
                <c:pt idx="3">
                  <c:v>found_alternative</c:v>
                </c:pt>
                <c:pt idx="4">
                  <c:v>other</c:v>
                </c:pt>
                <c:pt idx="5">
                  <c:v>technical_issues</c:v>
                </c:pt>
              </c:strCache>
            </c:strRef>
          </c:cat>
          <c:val>
            <c:numRef>
              <c:f>'06_cancellation_reasons'!$B$2:$B$7</c:f>
              <c:numCache>
                <c:formatCode>General</c:formatCode>
                <c:ptCount val="6"/>
                <c:pt idx="0">
                  <c:v>570</c:v>
                </c:pt>
                <c:pt idx="1">
                  <c:v>382</c:v>
                </c:pt>
                <c:pt idx="2">
                  <c:v>322</c:v>
                </c:pt>
                <c:pt idx="3">
                  <c:v>175</c:v>
                </c:pt>
                <c:pt idx="4">
                  <c:v>162</c:v>
                </c:pt>
                <c:pt idx="5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C-4B75-B1EF-5231A8EEC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33881103"/>
        <c:axId val="585483312"/>
      </c:barChart>
      <c:catAx>
        <c:axId val="33881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83312"/>
        <c:crosses val="autoZero"/>
        <c:auto val="1"/>
        <c:lblAlgn val="ctr"/>
        <c:lblOffset val="100"/>
        <c:noMultiLvlLbl val="0"/>
      </c:catAx>
      <c:valAx>
        <c:axId val="585483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8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11</xdr:row>
      <xdr:rowOff>22860</xdr:rowOff>
    </xdr:from>
    <xdr:to>
      <xdr:col>16</xdr:col>
      <xdr:colOff>510540</xdr:colOff>
      <xdr:row>26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0DE84-EE5C-C3A7-2DB4-0389FE2DE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304800</xdr:colOff>
      <xdr:row>11</xdr:row>
      <xdr:rowOff>7620</xdr:rowOff>
    </xdr:from>
    <xdr:to>
      <xdr:col>8</xdr:col>
      <xdr:colOff>0</xdr:colOff>
      <xdr:row>26</xdr:row>
      <xdr:rowOff>7620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696E92A-3924-A957-C51C-F0887A1FF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16E98A-3855-473F-A573-B538106E21EE}" autoFormatId="16" applyNumberFormats="0" applyBorderFormats="0" applyFontFormats="0" applyPatternFormats="0" applyAlignmentFormats="0" applyWidthHeightFormats="0">
  <queryTableRefresh nextId="5">
    <queryTableFields count="4">
      <queryTableField id="1" name="total_customers" tableColumnId="1"/>
      <queryTableField id="2" name="unique_customers" tableColumnId="2"/>
      <queryTableField id="3" name="missing_customer_ids" tableColumnId="3"/>
      <queryTableField id="4" name="missing_churn_statu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A62653-758C-429E-A010-86751961E75A}" autoFormatId="16" applyNumberFormats="0" applyBorderFormats="0" applyFontFormats="0" applyPatternFormats="0" applyAlignmentFormats="0" applyWidthHeightFormats="0">
  <queryTableRefresh nextId="5">
    <queryTableFields count="4">
      <queryTableField id="1" name="total_usage_records" tableColumnId="1"/>
      <queryTableField id="2" name="unique_customers" tableColumnId="2"/>
      <queryTableField id="3" name="missing_customer_ids" tableColumnId="3"/>
      <queryTableField id="4" name="missing_workout_value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4FB128A-4800-4098-B6BB-1C3DB4561473}" autoFormatId="16" applyNumberFormats="0" applyBorderFormats="0" applyFontFormats="0" applyPatternFormats="0" applyAlignmentFormats="0" applyWidthHeightFormats="0">
  <queryTableRefresh nextId="5">
    <queryTableFields count="4">
      <queryTableField id="1" name="total_customers" tableColumnId="1"/>
      <queryTableField id="2" name="churned_customers" tableColumnId="2"/>
      <queryTableField id="3" name="active_customers" tableColumnId="3"/>
      <queryTableField id="4" name="churn_rate_pc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A552DF1-EDA6-4FD5-9D33-8460C9899ED4}" autoFormatId="16" applyNumberFormats="0" applyBorderFormats="0" applyFontFormats="0" applyPatternFormats="0" applyAlignmentFormats="0" applyWidthHeightFormats="0">
  <queryTableRefresh nextId="6">
    <queryTableFields count="5">
      <queryTableField id="1" name="plan_type" tableColumnId="1"/>
      <queryTableField id="2" name="total_customers" tableColumnId="2"/>
      <queryTableField id="3" name="churned_customers" tableColumnId="3"/>
      <queryTableField id="4" name="churn_rate_pct" tableColumnId="4"/>
      <queryTableField id="5" name="avg_monthly_pric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22968C3-54C9-433F-A9C3-B9F4F419764F}" autoFormatId="16" applyNumberFormats="0" applyBorderFormats="0" applyFontFormats="0" applyPatternFormats="0" applyAlignmentFormats="0" applyWidthHeightFormats="0">
  <queryTableRefresh nextId="5">
    <queryTableFields count="4">
      <queryTableField id="1" name="acquisition_channel" tableColumnId="1"/>
      <queryTableField id="2" name="total_customers" tableColumnId="2"/>
      <queryTableField id="3" name="churned_customers" tableColumnId="3"/>
      <queryTableField id="4" name="churn_rate_pc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500AA47-B6DA-4B3F-AE2F-27CD3FEE07BB}" autoFormatId="16" applyNumberFormats="0" applyBorderFormats="0" applyFontFormats="0" applyPatternFormats="0" applyAlignmentFormats="0" applyWidthHeightFormats="0">
  <queryTableRefresh nextId="4">
    <queryTableFields count="3">
      <queryTableField id="1" name="cancel_reason" tableColumnId="1"/>
      <queryTableField id="2" name="customers" tableColumnId="2"/>
      <queryTableField id="3" name="pct_of_churned_customer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A7D4411-CD6D-4CBA-A4F4-F071C01F6CCA}" autoFormatId="16" applyNumberFormats="0" applyBorderFormats="0" applyFontFormats="0" applyPatternFormats="0" applyAlignmentFormats="0" applyWidthHeightFormats="0">
  <queryTableRefresh nextId="8">
    <queryTableFields count="7">
      <queryTableField id="1" name="churned" tableColumnId="1"/>
      <queryTableField id="2" name="customers" tableColumnId="2"/>
      <queryTableField id="3" name="avg_months_observed" tableColumnId="3"/>
      <queryTableField id="4" name="avg_monthly_workouts" tableColumnId="4"/>
      <queryTableField id="5" name="avg_monthly_active_minutes" tableColumnId="5"/>
      <queryTableField id="6" name="avg_monthly_classes" tableColumnId="6"/>
      <queryTableField id="7" name="avg_monthly_support_ticket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23B77B-E1AA-48CE-A0AB-A13C36AD98C3}" name="_01_subscription_data_quality" displayName="_01_subscription_data_quality" ref="A1:D2" tableType="queryTable" totalsRowShown="0">
  <autoFilter ref="A1:D2" xr:uid="{E723B77B-E1AA-48CE-A0AB-A13C36AD98C3}"/>
  <tableColumns count="4">
    <tableColumn id="1" xr3:uid="{9F264F14-248E-4E1B-BAB6-34633C361623}" uniqueName="1" name="total_customers" queryTableFieldId="1"/>
    <tableColumn id="2" xr3:uid="{8E938AFC-66D9-460C-8C11-D7BAD264D017}" uniqueName="2" name="unique_customers" queryTableFieldId="2"/>
    <tableColumn id="3" xr3:uid="{7D4DECBA-B89B-406E-8373-2626E76E53B3}" uniqueName="3" name="missing_customer_ids" queryTableFieldId="3"/>
    <tableColumn id="4" xr3:uid="{C3D4204E-C36B-4327-8E44-0783AAA4FF68}" uniqueName="4" name="missing_churn_statu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4BD639-620A-4962-901C-B0F8E1131023}" name="_02_usage_data_quality" displayName="_02_usage_data_quality" ref="A1:D2" tableType="queryTable" totalsRowShown="0">
  <autoFilter ref="A1:D2" xr:uid="{F14BD639-620A-4962-901C-B0F8E1131023}"/>
  <tableColumns count="4">
    <tableColumn id="1" xr3:uid="{10B1470B-5320-4833-A38E-C32BAE5A852A}" uniqueName="1" name="total_usage_records" queryTableFieldId="1"/>
    <tableColumn id="2" xr3:uid="{49DF2C19-12A2-422C-99ED-788C7AC4F859}" uniqueName="2" name="unique_customers" queryTableFieldId="2"/>
    <tableColumn id="3" xr3:uid="{28CBB563-B5B8-410C-B25C-F59BF4E98F6A}" uniqueName="3" name="missing_customer_ids" queryTableFieldId="3"/>
    <tableColumn id="4" xr3:uid="{9E59660E-1E36-420C-9FE8-A661ECBDC7EB}" uniqueName="4" name="missing_workout_value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6591A7-1B1C-474B-88FB-4CC1BFD98E07}" name="_03_overall_churn_rate" displayName="_03_overall_churn_rate" ref="A1:D2" tableType="queryTable" totalsRowShown="0">
  <autoFilter ref="A1:D2" xr:uid="{236591A7-1B1C-474B-88FB-4CC1BFD98E07}"/>
  <tableColumns count="4">
    <tableColumn id="1" xr3:uid="{CA40B762-3B16-4145-A9D1-3FB101F681D8}" uniqueName="1" name="total_customers" queryTableFieldId="1"/>
    <tableColumn id="2" xr3:uid="{118A46E5-4DEF-4811-A5DE-862B88822A2A}" uniqueName="2" name="churned_customers" queryTableFieldId="2"/>
    <tableColumn id="3" xr3:uid="{B5FAE6F5-07E1-43C5-959C-9301190D7684}" uniqueName="3" name="active_customers" queryTableFieldId="3"/>
    <tableColumn id="4" xr3:uid="{6613FD61-2F74-42DE-A51A-C060CE4AFE5F}" uniqueName="4" name="churn_rate_pct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10C04F-CBF1-47A8-B51D-222AB7E51EA0}" name="_04_churn_by_plan" displayName="_04_churn_by_plan" ref="A1:E3" tableType="queryTable" totalsRowShown="0">
  <autoFilter ref="A1:E3" xr:uid="{9B10C04F-CBF1-47A8-B51D-222AB7E51EA0}"/>
  <tableColumns count="5">
    <tableColumn id="1" xr3:uid="{C8B206D3-B3FD-4339-BE91-6C43BA440DB6}" uniqueName="1" name="plan_type" queryTableFieldId="1" dataDxfId="3"/>
    <tableColumn id="2" xr3:uid="{525E1AF6-090A-4323-86C4-91241F588A84}" uniqueName="2" name="total_customers" queryTableFieldId="2"/>
    <tableColumn id="3" xr3:uid="{FE05D623-6764-4B20-B197-65627E1CFFA6}" uniqueName="3" name="churned_customers" queryTableFieldId="3"/>
    <tableColumn id="4" xr3:uid="{9ABEC9F9-0B26-4362-9019-E726FB2067BF}" uniqueName="4" name="churn_rate_pct" queryTableFieldId="4"/>
    <tableColumn id="5" xr3:uid="{DA2B01EE-9B77-4FB6-8104-38F24335D874}" uniqueName="5" name="avg_monthly_pric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486EBE-1D11-46F6-8687-03C0644EA82C}" name="_05_churn_by_acquisition_channel" displayName="_05_churn_by_acquisition_channel" ref="A1:D6" tableType="queryTable" totalsRowShown="0">
  <autoFilter ref="A1:D6" xr:uid="{71486EBE-1D11-46F6-8687-03C0644EA82C}"/>
  <tableColumns count="4">
    <tableColumn id="1" xr3:uid="{F5120118-B2BC-49D6-A444-F5BF1710829B}" uniqueName="1" name="acquisition_channel" queryTableFieldId="1" dataDxfId="2"/>
    <tableColumn id="2" xr3:uid="{E9A31542-E940-49AA-A2D6-6D86817CA614}" uniqueName="2" name="total_customers" queryTableFieldId="2"/>
    <tableColumn id="3" xr3:uid="{EE485B99-C1FA-47EA-9877-0F2CE1D1C42C}" uniqueName="3" name="churned_customers" queryTableFieldId="3"/>
    <tableColumn id="4" xr3:uid="{D0AA30C7-CDFB-4A30-9635-EF5D61A75865}" uniqueName="4" name="churn_rate_pct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B2E468-2B42-474F-8FED-ECA70AA23697}" name="_06_cancellation_reasons" displayName="_06_cancellation_reasons" ref="A1:C7" tableType="queryTable" totalsRowShown="0">
  <autoFilter ref="A1:C7" xr:uid="{B5B2E468-2B42-474F-8FED-ECA70AA23697}"/>
  <tableColumns count="3">
    <tableColumn id="1" xr3:uid="{AC56CE08-B62C-4DE8-B24C-88C26B7DE21A}" uniqueName="1" name="cancel_reason" queryTableFieldId="1" dataDxfId="1"/>
    <tableColumn id="2" xr3:uid="{503770E1-3094-4B32-AD9C-63DC3D5ABF19}" uniqueName="2" name="customers" queryTableFieldId="2"/>
    <tableColumn id="3" xr3:uid="{BF43FAD7-1078-41FE-8A42-181F115C6D0D}" uniqueName="3" name="pct_of_churned_customer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8F75A8D-7ED4-44D8-87EA-613D69441B4E}" name="_07_usage_by_churn_status" displayName="_07_usage_by_churn_status" ref="A1:G3" tableType="queryTable" totalsRowShown="0">
  <autoFilter ref="A1:G3" xr:uid="{58F75A8D-7ED4-44D8-87EA-613D69441B4E}"/>
  <tableColumns count="7">
    <tableColumn id="1" xr3:uid="{731FA0CD-1FDC-4973-9085-306794EDAE19}" uniqueName="1" name="churned" queryTableFieldId="1" dataDxfId="0"/>
    <tableColumn id="2" xr3:uid="{0C864043-B003-4D5A-8E69-10426484EB73}" uniqueName="2" name="customers" queryTableFieldId="2"/>
    <tableColumn id="3" xr3:uid="{9FC8C44E-3DE9-4511-AA76-01D3540A2AFA}" uniqueName="3" name="avg_months_observed" queryTableFieldId="3"/>
    <tableColumn id="4" xr3:uid="{56C98436-80B8-4DD4-8A37-8813E38BE73A}" uniqueName="4" name="avg_monthly_workouts" queryTableFieldId="4"/>
    <tableColumn id="5" xr3:uid="{81F58D97-D110-421E-A4CC-8E08FD6FD973}" uniqueName="5" name="avg_monthly_active_minutes" queryTableFieldId="5"/>
    <tableColumn id="6" xr3:uid="{02D5C675-FDA4-470E-8AE4-80F0B5741EC2}" uniqueName="6" name="avg_monthly_classes" queryTableFieldId="6"/>
    <tableColumn id="7" xr3:uid="{258B4EF4-E17B-4C06-AA71-A749D2FEF719}" uniqueName="7" name="avg_monthly_support_ticket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949F8-7F8A-4147-9CF6-00851DC80873}">
  <dimension ref="A1:D2"/>
  <sheetViews>
    <sheetView workbookViewId="0"/>
  </sheetViews>
  <sheetFormatPr defaultRowHeight="14.4" x14ac:dyDescent="0.3"/>
  <cols>
    <col min="1" max="1" width="16.88671875" bestFit="1" customWidth="1"/>
    <col min="2" max="2" width="18.88671875" bestFit="1" customWidth="1"/>
    <col min="3" max="3" width="21.88671875" bestFit="1" customWidth="1"/>
    <col min="4" max="4" width="2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4200</v>
      </c>
      <c r="B2">
        <v>4200</v>
      </c>
      <c r="C2">
        <v>0</v>
      </c>
      <c r="D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D825-BB84-4725-AC35-DE1C2CEB45E5}">
  <dimension ref="A1:D2"/>
  <sheetViews>
    <sheetView workbookViewId="0"/>
  </sheetViews>
  <sheetFormatPr defaultRowHeight="14.4" x14ac:dyDescent="0.3"/>
  <cols>
    <col min="1" max="1" width="20.44140625" bestFit="1" customWidth="1"/>
    <col min="2" max="2" width="18.88671875" bestFit="1" customWidth="1"/>
    <col min="3" max="3" width="21.88671875" bestFit="1" customWidth="1"/>
    <col min="4" max="4" width="24.21875" bestFit="1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5</v>
      </c>
    </row>
    <row r="2" spans="1:4" x14ac:dyDescent="0.3">
      <c r="A2">
        <v>30179</v>
      </c>
      <c r="B2">
        <v>4189</v>
      </c>
      <c r="C2">
        <v>0</v>
      </c>
      <c r="D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9343-8573-4298-ABE6-E26EF0A20847}">
  <dimension ref="A1:D2"/>
  <sheetViews>
    <sheetView topLeftCell="AQ1" workbookViewId="0"/>
  </sheetViews>
  <sheetFormatPr defaultRowHeight="14.4" x14ac:dyDescent="0.3"/>
  <cols>
    <col min="1" max="1" width="16.88671875" bestFit="1" customWidth="1"/>
    <col min="2" max="2" width="20.109375" bestFit="1" customWidth="1"/>
    <col min="3" max="3" width="18" bestFit="1" customWidth="1"/>
    <col min="4" max="4" width="16.218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8</v>
      </c>
    </row>
    <row r="2" spans="1:4" x14ac:dyDescent="0.3">
      <c r="A2">
        <v>4200</v>
      </c>
      <c r="B2">
        <v>1768</v>
      </c>
      <c r="C2">
        <v>2432</v>
      </c>
      <c r="D2">
        <v>42.1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7E40-FCD1-4A09-BC91-669A3B121724}">
  <dimension ref="A1:E3"/>
  <sheetViews>
    <sheetView workbookViewId="0">
      <selection activeCell="O9" sqref="O9"/>
    </sheetView>
  </sheetViews>
  <sheetFormatPr defaultRowHeight="14.4" x14ac:dyDescent="0.3"/>
  <cols>
    <col min="1" max="1" width="11.6640625" bestFit="1" customWidth="1"/>
    <col min="2" max="2" width="16.88671875" bestFit="1" customWidth="1"/>
    <col min="3" max="3" width="20.109375" bestFit="1" customWidth="1"/>
    <col min="4" max="4" width="16.21875" bestFit="1" customWidth="1"/>
    <col min="5" max="5" width="19.6640625" bestFit="1" customWidth="1"/>
  </cols>
  <sheetData>
    <row r="1" spans="1:5" x14ac:dyDescent="0.3">
      <c r="A1" t="s">
        <v>9</v>
      </c>
      <c r="B1" t="s">
        <v>0</v>
      </c>
      <c r="C1" t="s">
        <v>6</v>
      </c>
      <c r="D1" t="s">
        <v>8</v>
      </c>
      <c r="E1" t="s">
        <v>10</v>
      </c>
    </row>
    <row r="2" spans="1:5" x14ac:dyDescent="0.3">
      <c r="A2" s="1" t="s">
        <v>11</v>
      </c>
      <c r="B2">
        <v>2661</v>
      </c>
      <c r="C2">
        <v>1362</v>
      </c>
      <c r="D2">
        <v>51.18</v>
      </c>
      <c r="E2">
        <v>18.489999999999998</v>
      </c>
    </row>
    <row r="3" spans="1:5" x14ac:dyDescent="0.3">
      <c r="A3" s="1" t="s">
        <v>12</v>
      </c>
      <c r="B3">
        <v>1539</v>
      </c>
      <c r="C3">
        <v>406</v>
      </c>
      <c r="D3">
        <v>26.38</v>
      </c>
      <c r="E3">
        <v>13.71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870A-B37B-4C24-9CB2-E519D2CB62D7}">
  <dimension ref="A1:D6"/>
  <sheetViews>
    <sheetView workbookViewId="0"/>
  </sheetViews>
  <sheetFormatPr defaultRowHeight="14.4" x14ac:dyDescent="0.3"/>
  <cols>
    <col min="1" max="1" width="20.21875" bestFit="1" customWidth="1"/>
    <col min="2" max="2" width="16.88671875" bestFit="1" customWidth="1"/>
    <col min="3" max="3" width="20.109375" bestFit="1" customWidth="1"/>
    <col min="4" max="4" width="16.21875" bestFit="1" customWidth="1"/>
  </cols>
  <sheetData>
    <row r="1" spans="1:4" x14ac:dyDescent="0.3">
      <c r="A1" t="s">
        <v>13</v>
      </c>
      <c r="B1" t="s">
        <v>0</v>
      </c>
      <c r="C1" t="s">
        <v>6</v>
      </c>
      <c r="D1" t="s">
        <v>8</v>
      </c>
    </row>
    <row r="2" spans="1:4" x14ac:dyDescent="0.3">
      <c r="A2" s="1" t="s">
        <v>14</v>
      </c>
      <c r="B2">
        <v>949</v>
      </c>
      <c r="C2">
        <v>482</v>
      </c>
      <c r="D2">
        <v>50.79</v>
      </c>
    </row>
    <row r="3" spans="1:4" x14ac:dyDescent="0.3">
      <c r="A3" s="1" t="s">
        <v>15</v>
      </c>
      <c r="B3">
        <v>476</v>
      </c>
      <c r="C3">
        <v>204</v>
      </c>
      <c r="D3">
        <v>42.86</v>
      </c>
    </row>
    <row r="4" spans="1:4" x14ac:dyDescent="0.3">
      <c r="A4" s="1" t="s">
        <v>16</v>
      </c>
      <c r="B4">
        <v>1298</v>
      </c>
      <c r="C4">
        <v>532</v>
      </c>
      <c r="D4">
        <v>40.99</v>
      </c>
    </row>
    <row r="5" spans="1:4" x14ac:dyDescent="0.3">
      <c r="A5" s="1" t="s">
        <v>17</v>
      </c>
      <c r="B5">
        <v>989</v>
      </c>
      <c r="C5">
        <v>385</v>
      </c>
      <c r="D5">
        <v>38.93</v>
      </c>
    </row>
    <row r="6" spans="1:4" x14ac:dyDescent="0.3">
      <c r="A6" s="1" t="s">
        <v>18</v>
      </c>
      <c r="B6">
        <v>488</v>
      </c>
      <c r="C6">
        <v>165</v>
      </c>
      <c r="D6">
        <v>33.81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DDDE-4EC1-4B38-BFCF-E26D6506FA0B}">
  <dimension ref="A1:C7"/>
  <sheetViews>
    <sheetView workbookViewId="0">
      <selection activeCell="C15" sqref="C15"/>
    </sheetView>
  </sheetViews>
  <sheetFormatPr defaultRowHeight="14.4" x14ac:dyDescent="0.3"/>
  <cols>
    <col min="1" max="1" width="16" bestFit="1" customWidth="1"/>
    <col min="2" max="2" width="11.88671875" bestFit="1" customWidth="1"/>
    <col min="3" max="3" width="26.6640625" bestFit="1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s="1" t="s">
        <v>22</v>
      </c>
      <c r="B2">
        <v>570</v>
      </c>
      <c r="C2">
        <v>32.24</v>
      </c>
    </row>
    <row r="3" spans="1:3" x14ac:dyDescent="0.3">
      <c r="A3" s="1" t="s">
        <v>40</v>
      </c>
      <c r="B3">
        <v>382</v>
      </c>
      <c r="C3">
        <v>21.61</v>
      </c>
    </row>
    <row r="4" spans="1:3" x14ac:dyDescent="0.3">
      <c r="A4" s="1" t="s">
        <v>23</v>
      </c>
      <c r="B4">
        <v>322</v>
      </c>
      <c r="C4">
        <v>18.21</v>
      </c>
    </row>
    <row r="5" spans="1:3" x14ac:dyDescent="0.3">
      <c r="A5" s="1" t="s">
        <v>24</v>
      </c>
      <c r="B5">
        <v>175</v>
      </c>
      <c r="C5">
        <v>9.9</v>
      </c>
    </row>
    <row r="6" spans="1:3" x14ac:dyDescent="0.3">
      <c r="A6" s="1" t="s">
        <v>25</v>
      </c>
      <c r="B6">
        <v>162</v>
      </c>
      <c r="C6">
        <v>9.16</v>
      </c>
    </row>
    <row r="7" spans="1:3" x14ac:dyDescent="0.3">
      <c r="A7" s="1" t="s">
        <v>26</v>
      </c>
      <c r="B7">
        <v>157</v>
      </c>
      <c r="C7">
        <v>8.8800000000000008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A8B-7234-4257-8832-A477C8C08797}">
  <dimension ref="A1:G3"/>
  <sheetViews>
    <sheetView topLeftCell="T1" workbookViewId="0"/>
  </sheetViews>
  <sheetFormatPr defaultRowHeight="14.4" x14ac:dyDescent="0.3"/>
  <cols>
    <col min="1" max="1" width="10.21875" bestFit="1" customWidth="1"/>
    <col min="2" max="2" width="11.88671875" bestFit="1" customWidth="1"/>
    <col min="3" max="3" width="22.6640625" bestFit="1" customWidth="1"/>
    <col min="4" max="4" width="23.5546875" bestFit="1" customWidth="1"/>
    <col min="5" max="5" width="28.5546875" bestFit="1" customWidth="1"/>
    <col min="6" max="6" width="21.21875" bestFit="1" customWidth="1"/>
    <col min="7" max="7" width="28.77734375" bestFit="1" customWidth="1"/>
  </cols>
  <sheetData>
    <row r="1" spans="1:7" x14ac:dyDescent="0.3">
      <c r="A1" t="s">
        <v>27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3">
      <c r="A2" s="1" t="s">
        <v>33</v>
      </c>
      <c r="B2">
        <v>2432</v>
      </c>
      <c r="C2">
        <v>8.02</v>
      </c>
      <c r="D2">
        <v>4.91</v>
      </c>
      <c r="E2">
        <v>147.27000000000001</v>
      </c>
      <c r="F2">
        <v>0.79</v>
      </c>
      <c r="G2">
        <v>0.12</v>
      </c>
    </row>
    <row r="3" spans="1:7" x14ac:dyDescent="0.3">
      <c r="A3" s="1" t="s">
        <v>34</v>
      </c>
      <c r="B3">
        <v>1768</v>
      </c>
      <c r="C3">
        <v>6.08</v>
      </c>
      <c r="D3">
        <v>2.95</v>
      </c>
      <c r="E3">
        <v>88.32</v>
      </c>
      <c r="F3">
        <v>0.49</v>
      </c>
      <c r="G3">
        <v>0.14000000000000001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4979-36D9-4227-9E9F-08ADC3EE0900}">
  <dimension ref="A1:J4"/>
  <sheetViews>
    <sheetView tabSelected="1" workbookViewId="0">
      <selection activeCell="D33" sqref="D33"/>
    </sheetView>
  </sheetViews>
  <sheetFormatPr defaultRowHeight="14.4" x14ac:dyDescent="0.3"/>
  <sheetData>
    <row r="1" spans="1:10" x14ac:dyDescent="0.3">
      <c r="D1" s="2" t="s">
        <v>35</v>
      </c>
      <c r="E1" s="3"/>
      <c r="F1" s="3"/>
      <c r="G1" s="3"/>
    </row>
    <row r="3" spans="1:10" x14ac:dyDescent="0.3">
      <c r="A3" s="4" t="s">
        <v>36</v>
      </c>
      <c r="B3" s="4"/>
      <c r="D3" s="4" t="s">
        <v>37</v>
      </c>
      <c r="E3" s="4"/>
      <c r="G3" s="4" t="s">
        <v>38</v>
      </c>
      <c r="H3" s="4"/>
      <c r="J3" s="4" t="s">
        <v>39</v>
      </c>
    </row>
    <row r="4" spans="1:10" x14ac:dyDescent="0.3">
      <c r="A4" s="4">
        <f>SUM('03_overall_churn_rate'!A2)</f>
        <v>4200</v>
      </c>
      <c r="B4" s="4"/>
      <c r="D4" s="4">
        <f>SUM('03_overall_churn_rate'!B2)</f>
        <v>1768</v>
      </c>
      <c r="E4" s="4"/>
      <c r="G4" s="4">
        <f>SUM('03_overall_churn_rate'!C2)</f>
        <v>2432</v>
      </c>
      <c r="H4" s="4"/>
      <c r="J4" s="4">
        <f>'03_overall_churn_rate'!D2</f>
        <v>42.1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D9FB6-6880-43B0-8938-45242BD2D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01_subscription_data_quality</vt:lpstr>
      <vt:lpstr>02_usage_data_quality</vt:lpstr>
      <vt:lpstr>03_overall_churn_rate</vt:lpstr>
      <vt:lpstr>04_churn_by_plan</vt:lpstr>
      <vt:lpstr>05_churn_by_acquisition_channel</vt:lpstr>
      <vt:lpstr>06_cancellation_reasons</vt:lpstr>
      <vt:lpstr>07_usage_by_churn_status</vt:lpstr>
      <vt:lpstr>Dahboard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Salokhe</dc:creator>
  <cp:lastModifiedBy>Vaishnavi Salokhe</cp:lastModifiedBy>
  <dcterms:created xsi:type="dcterms:W3CDTF">2026-10-11T16:46:39Z</dcterms:created>
  <dcterms:modified xsi:type="dcterms:W3CDTF">2026-10-11T17:32:04Z</dcterms:modified>
</cp:coreProperties>
</file>